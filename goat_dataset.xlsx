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ethod" sheetId="2" state="visible" r:id="rId4"/>
  </sheets>
  <definedNames>
    <definedName function="false" hidden="true" localSheetId="0" name="_xlnm._FilterDatabase" vbProcedure="false">Data!$A$1:$T$25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Most titles by one club (or nation) in any window as long as the GOAT's career (L).</t>
        </r>
      </text>
    </comment>
    <comment ref="O1" authorId="0">
      <text>
        <r>
          <rPr>
            <sz val="10"/>
            <rFont val="Arial"/>
            <family val="2"/>
          </rPr>
          <t xml:space="preserve">GOAT team titles / GOAT titles. Above 1: dynasty beats best player.</t>
        </r>
      </text>
    </comment>
    <comment ref="R1" authorId="0">
      <text>
        <r>
          <rPr>
            <sz val="10"/>
            <rFont val="Arial"/>
            <family val="2"/>
          </rPr>
          <t xml:space="preserve">Teams x roster size today, e.g. NFL 32 x 53. Not the size in each GOAT's era.</t>
        </r>
      </text>
    </comment>
  </commentList>
</comments>
</file>

<file path=xl/sharedStrings.xml><?xml version="1.0" encoding="utf-8"?>
<sst xmlns="http://schemas.openxmlformats.org/spreadsheetml/2006/main" count="305" uniqueCount="186">
  <si>
    <t xml:space="preserve">Group</t>
  </si>
  <si>
    <t xml:space="preserve">Sport / league</t>
  </si>
  <si>
    <t xml:space="preserve">Sex</t>
  </si>
  <si>
    <t xml:space="preserve">Level</t>
  </si>
  <si>
    <t xml:space="preserve">League system</t>
  </si>
  <si>
    <t xml:space="preserve">GOAT player</t>
  </si>
  <si>
    <t xml:space="preserve">KPI (team titles)</t>
  </si>
  <si>
    <t xml:space="preserve">GOAT titles</t>
  </si>
  <si>
    <t xml:space="preserve">Best other player</t>
  </si>
  <si>
    <t xml:space="preserve">Best other titles</t>
  </si>
  <si>
    <t xml:space="preserve">Margin vs best other</t>
  </si>
  <si>
    <t xml:space="preserve">GOAT team (best run)</t>
  </si>
  <si>
    <t xml:space="preserve">L (seasons or Games)</t>
  </si>
  <si>
    <t xml:space="preserve">GOAT team titles</t>
  </si>
  <si>
    <t xml:space="preserve">Teamwork index</t>
  </si>
  <si>
    <t xml:space="preserve">Overlap</t>
  </si>
  <si>
    <t xml:space="preserve">With/without ratio</t>
  </si>
  <si>
    <t xml:space="preserve">League N (players)</t>
  </si>
  <si>
    <t xml:space="preserve">Data status</t>
  </si>
  <si>
    <t xml:space="preserve">Notes</t>
  </si>
  <si>
    <t xml:space="preserve">Club - men</t>
  </si>
  <si>
    <t xml:space="preserve">NFL</t>
  </si>
  <si>
    <t xml:space="preserve">M</t>
  </si>
  <si>
    <t xml:space="preserve">Club</t>
  </si>
  <si>
    <t xml:space="preserve">Capped NA</t>
  </si>
  <si>
    <t xml:space="preserve">Tom Brady</t>
  </si>
  <si>
    <t xml:space="preserve">Super Bowls</t>
  </si>
  <si>
    <t xml:space="preserve">Charles Haley</t>
  </si>
  <si>
    <t xml:space="preserve">Patriots 2001-2018</t>
  </si>
  <si>
    <t xml:space="preserve">Full (own team)</t>
  </si>
  <si>
    <t xml:space="preserve">inf (6 vs 0)</t>
  </si>
  <si>
    <t xml:space="preserve">Sourced + memory</t>
  </si>
  <si>
    <t xml:space="preserve">Coach Belichick overlaps all 20 seasons</t>
  </si>
  <si>
    <t xml:space="preserve">Cycling (Grand Tours)</t>
  </si>
  <si>
    <t xml:space="preserve">Trade team</t>
  </si>
  <si>
    <t xml:space="preserve">Grand Tours</t>
  </si>
  <si>
    <t xml:space="preserve">Eddy Merckx</t>
  </si>
  <si>
    <t xml:space="preserve">Grand Tour wins</t>
  </si>
  <si>
    <t xml:space="preserve">Bernard Hinault</t>
  </si>
  <si>
    <t xml:space="preserve">Sky/Ineos 2011-2021</t>
  </si>
  <si>
    <t xml:space="preserve">GOAT team from memory</t>
  </si>
  <si>
    <t xml:space="preserve">Riders race as a team, one rider wins</t>
  </si>
  <si>
    <t xml:space="preserve">Football (top-5 leagues + UCL)</t>
  </si>
  <si>
    <t xml:space="preserve">Open EU</t>
  </si>
  <si>
    <t xml:space="preserve">Lionel Messi</t>
  </si>
  <si>
    <t xml:space="preserve">Top-5 league titles + UCL</t>
  </si>
  <si>
    <t xml:space="preserve">Paco Gento</t>
  </si>
  <si>
    <t xml:space="preserve">Real Madrid 1953/54-1971/72</t>
  </si>
  <si>
    <t xml:space="preserve">Partial (Barca 2nd, 15)</t>
  </si>
  <si>
    <t xml:space="preserve">1.8</t>
  </si>
  <si>
    <t xml:space="preserve">Partly memory</t>
  </si>
  <si>
    <t xml:space="preserve">NBA</t>
  </si>
  <si>
    <t xml:space="preserve">Michael Jordan</t>
  </si>
  <si>
    <t xml:space="preserve">NBA titles</t>
  </si>
  <si>
    <t xml:space="preserve">Bill Russell</t>
  </si>
  <si>
    <t xml:space="preserve">Celtics 1957-1969</t>
  </si>
  <si>
    <t xml:space="preserve">Handball (EHF CL)</t>
  </si>
  <si>
    <t xml:space="preserve">Nikola Karabatic</t>
  </si>
  <si>
    <t xml:space="preserve">EHF Champions League</t>
  </si>
  <si>
    <t xml:space="preserve">Andrei Xepkin</t>
  </si>
  <si>
    <t xml:space="preserve">Barcelona 1991-2005</t>
  </si>
  <si>
    <t xml:space="preserve">NHL</t>
  </si>
  <si>
    <t xml:space="preserve">Wayne Gretzky</t>
  </si>
  <si>
    <t xml:space="preserve">Stanley Cups</t>
  </si>
  <si>
    <t xml:space="preserve">Henri Richard</t>
  </si>
  <si>
    <t xml:space="preserve">Canadiens 1956-1975</t>
  </si>
  <si>
    <t xml:space="preserve">Water polo (LEN CL)</t>
  </si>
  <si>
    <t xml:space="preserve">Manuel Estiarte</t>
  </si>
  <si>
    <t xml:space="preserve">European Cups</t>
  </si>
  <si>
    <t xml:space="preserve">Pietro Figlioli</t>
  </si>
  <si>
    <t xml:space="preserve">Pro Recco 2003-2023</t>
  </si>
  <si>
    <t xml:space="preserve">Volleyball (CEV CL)</t>
  </si>
  <si>
    <t xml:space="preserve">Karch Kiraly</t>
  </si>
  <si>
    <t xml:space="preserve">CEV Champions League</t>
  </si>
  <si>
    <t xml:space="preserve">Maxim Mikhaylov</t>
  </si>
  <si>
    <t xml:space="preserve">Zenit Kazan 2008-2018</t>
  </si>
  <si>
    <t xml:space="preserve">Best other is at least 5</t>
  </si>
  <si>
    <t xml:space="preserve">Lacrosse (NLL/MLL)</t>
  </si>
  <si>
    <t xml:space="preserve">Gary Gait</t>
  </si>
  <si>
    <t xml:space="preserve">Pro league titles</t>
  </si>
  <si>
    <t xml:space="preserve">not found</t>
  </si>
  <si>
    <t xml:space="preserve">Incomplete</t>
  </si>
  <si>
    <t xml:space="preserve">No player-title record list found</t>
  </si>
  <si>
    <t xml:space="preserve">Club - women</t>
  </si>
  <si>
    <t xml:space="preserve">WNBA</t>
  </si>
  <si>
    <t xml:space="preserve">F</t>
  </si>
  <si>
    <t xml:space="preserve">Diana Taurasi</t>
  </si>
  <si>
    <t xml:space="preserve">WNBA titles</t>
  </si>
  <si>
    <t xml:space="preserve">Rebekkah Brunson</t>
  </si>
  <si>
    <t xml:space="preserve">Comets / Lynx / Storm (tie)</t>
  </si>
  <si>
    <t xml:space="preserve">Sourced</t>
  </si>
  <si>
    <t xml:space="preserve">Football (UWCL)</t>
  </si>
  <si>
    <t xml:space="preserve">Marta</t>
  </si>
  <si>
    <t xml:space="preserve">UWCL titles</t>
  </si>
  <si>
    <t xml:space="preserve">Renard / Le Sommer / Bouhaddi</t>
  </si>
  <si>
    <t xml:space="preserve">Lyon 2011-2022</t>
  </si>
  <si>
    <t xml:space="preserve">Marta count from memory</t>
  </si>
  <si>
    <t xml:space="preserve">Cristina Neagu</t>
  </si>
  <si>
    <t xml:space="preserve">Katrine Lunde</t>
  </si>
  <si>
    <t xml:space="preserve">Hypo Niederoesterreich 1989-2000</t>
  </si>
  <si>
    <t xml:space="preserve">Annemiek van Vleuten</t>
  </si>
  <si>
    <t xml:space="preserve">Fabiana Luperini</t>
  </si>
  <si>
    <t xml:space="preserve">not counted</t>
  </si>
  <si>
    <t xml:space="preserve">Soccer league</t>
  </si>
  <si>
    <t xml:space="preserve">Premier League</t>
  </si>
  <si>
    <t xml:space="preserve">Thierry Henry</t>
  </si>
  <si>
    <t xml:space="preserve">PL titles</t>
  </si>
  <si>
    <t xml:space="preserve">Ryan Giggs</t>
  </si>
  <si>
    <t xml:space="preserve">Man Utd 1992/93-1999/2000</t>
  </si>
  <si>
    <t xml:space="preserve">Contested GOAT pick; team from memory</t>
  </si>
  <si>
    <t xml:space="preserve">La Liga</t>
  </si>
  <si>
    <t xml:space="preserve">La Liga titles</t>
  </si>
  <si>
    <t xml:space="preserve">Real Madrid 1953/54-1969/70</t>
  </si>
  <si>
    <t xml:space="preserve">Partial (Barca 10)</t>
  </si>
  <si>
    <t xml:space="preserve">Team from memory</t>
  </si>
  <si>
    <t xml:space="preserve">Serie A</t>
  </si>
  <si>
    <t xml:space="preserve">Paolo Maldini</t>
  </si>
  <si>
    <t xml:space="preserve">Serie A titles</t>
  </si>
  <si>
    <t xml:space="preserve">Gianluigi Buffon</t>
  </si>
  <si>
    <t xml:space="preserve">Juventus 1995/96-2019/20</t>
  </si>
  <si>
    <t xml:space="preserve">Excludes revoked 2005, 2006 titles</t>
  </si>
  <si>
    <t xml:space="preserve">Bundesliga</t>
  </si>
  <si>
    <t xml:space="preserve">Gerd Mueller</t>
  </si>
  <si>
    <t xml:space="preserve">Bundesliga titles</t>
  </si>
  <si>
    <t xml:space="preserve">Thomas Mueller / Manuel Neuer</t>
  </si>
  <si>
    <t xml:space="preserve">Bayern 2012/13-2025/26</t>
  </si>
  <si>
    <t xml:space="preserve">Ligue 1</t>
  </si>
  <si>
    <t xml:space="preserve">Kylian Mbappe</t>
  </si>
  <si>
    <t xml:space="preserve">Ligue 1 titles</t>
  </si>
  <si>
    <t xml:space="preserve">Marquinhos</t>
  </si>
  <si>
    <t xml:space="preserve">PSG 2017/18-2025/26</t>
  </si>
  <si>
    <t xml:space="preserve">Full (own club)</t>
  </si>
  <si>
    <t xml:space="preserve">Contested GOAT pick</t>
  </si>
  <si>
    <t xml:space="preserve">National (supplementary)</t>
  </si>
  <si>
    <t xml:space="preserve">Rowing (all events)</t>
  </si>
  <si>
    <t xml:space="preserve">National</t>
  </si>
  <si>
    <t xml:space="preserve">Steve Redgrave</t>
  </si>
  <si>
    <t xml:space="preserve">Olympic golds</t>
  </si>
  <si>
    <t xml:space="preserve">East Germany 1972-1988</t>
  </si>
  <si>
    <t xml:space="preserve">Approximate (~30)</t>
  </si>
  <si>
    <t xml:space="preserve">Population-weighted</t>
  </si>
  <si>
    <t xml:space="preserve">Ice hockey</t>
  </si>
  <si>
    <t xml:space="preserve">Vladislav Tretiak</t>
  </si>
  <si>
    <t xml:space="preserve">USSR 1964-1976</t>
  </si>
  <si>
    <t xml:space="preserve">Full</t>
  </si>
  <si>
    <t xml:space="preserve">0.94</t>
  </si>
  <si>
    <t xml:space="preserve">From memory</t>
  </si>
  <si>
    <t xml:space="preserve">Hayley Wickenheiser</t>
  </si>
  <si>
    <t xml:space="preserve">Canada 2002-2014</t>
  </si>
  <si>
    <t xml:space="preserve">2.4</t>
  </si>
  <si>
    <t xml:space="preserve">Sourced (2018-2026)</t>
  </si>
  <si>
    <t xml:space="preserve">Water polo</t>
  </si>
  <si>
    <t xml:space="preserve">Dezso Gyarmati</t>
  </si>
  <si>
    <t xml:space="preserve">Hungary 1952-1964</t>
  </si>
  <si>
    <t xml:space="preserve">1.0</t>
  </si>
  <si>
    <t xml:space="preserve">Maggie Steffens</t>
  </si>
  <si>
    <t xml:space="preserve">USA 2012-2020</t>
  </si>
  <si>
    <t xml:space="preserve">inf (3/4 vs 0/3)</t>
  </si>
  <si>
    <t xml:space="preserve">Volleyball</t>
  </si>
  <si>
    <t xml:space="preserve">Regla Torres</t>
  </si>
  <si>
    <t xml:space="preserve">Cuba 1992-2000</t>
  </si>
  <si>
    <t xml:space="preserve">inf (3/3 vs 0/3)</t>
  </si>
  <si>
    <t xml:space="preserve">How to read this sheet</t>
  </si>
  <si>
    <t xml:space="preserve">Blue values are inputs you can edit. Margin and Teamwork index are formulas.</t>
  </si>
  <si>
    <t xml:space="preserve">Margin = GOAT titles / best other player's titles - 1.</t>
  </si>
  <si>
    <t xml:space="preserve">Teamwork index = GOAT team titles / GOAT titles. GOAT team = club with most titles in any window of L seasons (L = GOAT's career length).</t>
  </si>
  <si>
    <t xml:space="preserve">Overlap: Full = GOAT team is the GOAT's own team. Partial = GOAT's own club is a close second.</t>
  </si>
  <si>
    <t xml:space="preserve">With/without ratio = team title rate with the GOAT / rate without the GOAT (flagged rows only).</t>
  </si>
  <si>
    <t xml:space="preserve">Highest level: NHL, NFL, NBA, WNBA league titles; football top-5 leagues + UCL; per-league rows count that league only; handball, volleyball, water polo European Champions League; cycling Grand Tours.</t>
  </si>
  <si>
    <t xml:space="preserve">National rows are supplementary: national teams pick from a whole country, so results are weighted by population.</t>
  </si>
  <si>
    <t xml:space="preserve">Excluded: field hockey (Dhyan Chand) - too few competitions.</t>
  </si>
  <si>
    <t xml:space="preserve">Data status 'from memory' = not yet checked against a source.</t>
  </si>
  <si>
    <t xml:space="preserve">Sources</t>
  </si>
  <si>
    <t xml:space="preserve">Hockey-Reference career points: https://www.hockey-reference.com/leaders/points_career.html</t>
  </si>
  <si>
    <t xml:space="preserve">NBA players with most championships: https://en.wikipedia.org/wiki/List_of_NBA_players_with_most_championships</t>
  </si>
  <si>
    <t xml:space="preserve">Most Stanley Cups by player: https://thehockeywriters.com/10-nhl-players-with-most-stanley-cups/</t>
  </si>
  <si>
    <t xml:space="preserve">Grand Tour wins: https://www.procyclingstats.com/statistics/grandtours/most-wins</t>
  </si>
  <si>
    <t xml:space="preserve">Top-five league titles by player (SI, May 2026): https://www.si.com/soccer/players-most-league-titles-europe-top-five-leagues</t>
  </si>
  <si>
    <t xml:space="preserve">EHF CL men all-time: https://ehfcl.eurohandball.com/men/2025-26/history/ehf-champions-league-men-all-time-statistics/</t>
  </si>
  <si>
    <t xml:space="preserve">EHF CL women all-time: https://ehfcl.eurohandball.com/women/2026-27/history/ehf-champions-league-women-all-time-statistics/</t>
  </si>
  <si>
    <t xml:space="preserve">Water polo Champions League: https://en.wikipedia.org/wiki/European_Aquatics_Champions_League</t>
  </si>
  <si>
    <t xml:space="preserve">WNBA most titles (FanDuel): https://www.fanduel.com/research/which-wnba-players-have-won-the-most-championship-rings</t>
  </si>
  <si>
    <t xml:space="preserve">UWCL most wins (Guinness): https://www.guinnessworldrecords.com/world-records/597282-most-women%E2%80%99s-champions-league-wins-by-a-player</t>
  </si>
  <si>
    <t xml:space="preserve">Marquinhos 11 Ligue 1 titles, PSG 2025-26 (Gulf News): https://gulfnews.com/sport/football/marquinhos-has-more-french-league-titles-than-every-club-except-psg-1.500541029</t>
  </si>
  <si>
    <t xml:space="preserve">Buffon Serie A record (Football Italia): https://www.football-italia.net/155400/buffon-serie-record-man</t>
  </si>
  <si>
    <t xml:space="preserve">2026 Olympic women's hockey final: https://www.olympics.com/en/news/winter-olympics-2026-usa-defeat-canada-2-1-overtime-win-womens-ice-hockey-gold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</si>
</sst>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+0%;\-0%;0%"/>
    <numFmt numFmtId="166" formatCode="0.0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10"/>
    <col collapsed="false" customWidth="true" hidden="false" outlineLevel="0" max="19" min="19" style="0" width="30"/>
    <col collapsed="false" customWidth="true" hidden="false" outlineLevel="0" max="20" min="20" style="0" width="36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n">
        <v>7</v>
      </c>
      <c r="I2" s="2" t="s">
        <v>27</v>
      </c>
      <c r="J2" s="3" t="n">
        <v>5</v>
      </c>
      <c r="K2" s="4" t="n">
        <f aca="false">IF(OR(H2="",J2=""),"",H2/J2-1)</f>
        <v>0.4</v>
      </c>
      <c r="L2" s="2" t="s">
        <v>28</v>
      </c>
      <c r="M2" s="3" t="n">
        <v>23</v>
      </c>
      <c r="N2" s="3" t="n">
        <v>6</v>
      </c>
      <c r="O2" s="5" t="n">
        <f aca="false">IF(OR(H2="",N2=""),"",N2/H2)</f>
        <v>0.857142857142857</v>
      </c>
      <c r="P2" s="2" t="s">
        <v>29</v>
      </c>
      <c r="Q2" s="2" t="s">
        <v>30</v>
      </c>
      <c r="R2" s="6" t="n">
        <v>1700</v>
      </c>
      <c r="S2" s="2" t="s">
        <v>31</v>
      </c>
      <c r="T2" s="2" t="s">
        <v>32</v>
      </c>
    </row>
    <row r="3" customFormat="false" ht="15" hidden="false" customHeight="false" outlineLevel="0" collapsed="false">
      <c r="A3" s="2" t="s">
        <v>20</v>
      </c>
      <c r="B3" s="2" t="s">
        <v>33</v>
      </c>
      <c r="C3" s="2" t="s">
        <v>22</v>
      </c>
      <c r="D3" s="2" t="s">
        <v>34</v>
      </c>
      <c r="E3" s="2" t="s">
        <v>35</v>
      </c>
      <c r="F3" s="2" t="s">
        <v>36</v>
      </c>
      <c r="G3" s="2" t="s">
        <v>37</v>
      </c>
      <c r="H3" s="3" t="n">
        <v>11</v>
      </c>
      <c r="I3" s="2" t="s">
        <v>38</v>
      </c>
      <c r="J3" s="3" t="n">
        <v>10</v>
      </c>
      <c r="K3" s="4" t="n">
        <f aca="false">IF(OR(H3="",J3=""),"",H3/J3-1)</f>
        <v>0.1</v>
      </c>
      <c r="L3" s="2" t="s">
        <v>39</v>
      </c>
      <c r="M3" s="3" t="n">
        <v>14</v>
      </c>
      <c r="N3" s="3" t="n">
        <v>12</v>
      </c>
      <c r="O3" s="5" t="n">
        <f aca="false">IF(OR(H3="",N3=""),"",N3/H3)</f>
        <v>1.09090909090909</v>
      </c>
      <c r="P3" s="2"/>
      <c r="Q3" s="2"/>
      <c r="R3" s="6" t="n">
        <v>184</v>
      </c>
      <c r="S3" s="2" t="s">
        <v>40</v>
      </c>
      <c r="T3" s="2" t="s">
        <v>41</v>
      </c>
    </row>
    <row r="4" customFormat="false" ht="15" hidden="false" customHeight="false" outlineLevel="0" collapsed="false">
      <c r="A4" s="2" t="s">
        <v>20</v>
      </c>
      <c r="B4" s="2" t="s">
        <v>42</v>
      </c>
      <c r="C4" s="2" t="s">
        <v>22</v>
      </c>
      <c r="D4" s="2" t="s">
        <v>23</v>
      </c>
      <c r="E4" s="2" t="s">
        <v>43</v>
      </c>
      <c r="F4" s="2" t="s">
        <v>44</v>
      </c>
      <c r="G4" s="2" t="s">
        <v>45</v>
      </c>
      <c r="H4" s="3" t="n">
        <v>16</v>
      </c>
      <c r="I4" s="2" t="s">
        <v>46</v>
      </c>
      <c r="J4" s="3" t="n">
        <v>18</v>
      </c>
      <c r="K4" s="4" t="n">
        <f aca="false">IF(OR(H4="",J4=""),"",H4/J4-1)</f>
        <v>-0.111111111111111</v>
      </c>
      <c r="L4" s="2" t="s">
        <v>47</v>
      </c>
      <c r="M4" s="3" t="n">
        <v>19</v>
      </c>
      <c r="N4" s="3" t="n">
        <v>19</v>
      </c>
      <c r="O4" s="5" t="n">
        <f aca="false">IF(OR(H4="",N4=""),"",N4/H4)</f>
        <v>1.1875</v>
      </c>
      <c r="P4" s="2" t="s">
        <v>48</v>
      </c>
      <c r="Q4" s="2" t="s">
        <v>49</v>
      </c>
      <c r="R4" s="6" t="n">
        <v>2400</v>
      </c>
      <c r="S4" s="2" t="s">
        <v>50</v>
      </c>
      <c r="T4" s="2"/>
    </row>
    <row r="5" customFormat="false" ht="15" hidden="false" customHeight="false" outlineLevel="0" collapsed="false">
      <c r="A5" s="2" t="s">
        <v>20</v>
      </c>
      <c r="B5" s="2" t="s">
        <v>51</v>
      </c>
      <c r="C5" s="2" t="s">
        <v>22</v>
      </c>
      <c r="D5" s="2" t="s">
        <v>23</v>
      </c>
      <c r="E5" s="2" t="s">
        <v>24</v>
      </c>
      <c r="F5" s="2" t="s">
        <v>52</v>
      </c>
      <c r="G5" s="2" t="s">
        <v>53</v>
      </c>
      <c r="H5" s="3" t="n">
        <v>6</v>
      </c>
      <c r="I5" s="2" t="s">
        <v>54</v>
      </c>
      <c r="J5" s="3" t="n">
        <v>11</v>
      </c>
      <c r="K5" s="4" t="n">
        <f aca="false">IF(OR(H5="",J5=""),"",H5/J5-1)</f>
        <v>-0.454545454545455</v>
      </c>
      <c r="L5" s="2" t="s">
        <v>55</v>
      </c>
      <c r="M5" s="3" t="n">
        <v>15</v>
      </c>
      <c r="N5" s="3" t="n">
        <v>11</v>
      </c>
      <c r="O5" s="5" t="n">
        <f aca="false">IF(OR(H5="",N5=""),"",N5/H5)</f>
        <v>1.83333333333333</v>
      </c>
      <c r="P5" s="2"/>
      <c r="Q5" s="2"/>
      <c r="R5" s="6" t="n">
        <v>450</v>
      </c>
      <c r="S5" s="2" t="s">
        <v>31</v>
      </c>
      <c r="T5" s="2"/>
    </row>
    <row r="6" customFormat="false" ht="15" hidden="false" customHeight="false" outlineLevel="0" collapsed="false">
      <c r="A6" s="2" t="s">
        <v>20</v>
      </c>
      <c r="B6" s="2" t="s">
        <v>56</v>
      </c>
      <c r="C6" s="2" t="s">
        <v>22</v>
      </c>
      <c r="D6" s="2" t="s">
        <v>23</v>
      </c>
      <c r="E6" s="2" t="s">
        <v>43</v>
      </c>
      <c r="F6" s="2" t="s">
        <v>57</v>
      </c>
      <c r="G6" s="2" t="s">
        <v>58</v>
      </c>
      <c r="H6" s="3" t="n">
        <v>3</v>
      </c>
      <c r="I6" s="2" t="s">
        <v>59</v>
      </c>
      <c r="J6" s="3" t="n">
        <v>7</v>
      </c>
      <c r="K6" s="4" t="n">
        <f aca="false">IF(OR(H6="",J6=""),"",H6/J6-1)</f>
        <v>-0.571428571428571</v>
      </c>
      <c r="L6" s="2" t="s">
        <v>60</v>
      </c>
      <c r="M6" s="3" t="n">
        <v>23</v>
      </c>
      <c r="N6" s="3" t="n">
        <v>8</v>
      </c>
      <c r="O6" s="5" t="n">
        <f aca="false">IF(OR(H6="",N6=""),"",N6/H6)</f>
        <v>2.66666666666667</v>
      </c>
      <c r="P6" s="2"/>
      <c r="Q6" s="2"/>
      <c r="R6" s="6" t="n">
        <v>256</v>
      </c>
      <c r="S6" s="2" t="s">
        <v>40</v>
      </c>
      <c r="T6" s="2"/>
    </row>
    <row r="7" customFormat="false" ht="15" hidden="false" customHeight="false" outlineLevel="0" collapsed="false">
      <c r="A7" s="2" t="s">
        <v>20</v>
      </c>
      <c r="B7" s="2" t="s">
        <v>61</v>
      </c>
      <c r="C7" s="2" t="s">
        <v>22</v>
      </c>
      <c r="D7" s="2" t="s">
        <v>23</v>
      </c>
      <c r="E7" s="2" t="s">
        <v>24</v>
      </c>
      <c r="F7" s="2" t="s">
        <v>62</v>
      </c>
      <c r="G7" s="2" t="s">
        <v>63</v>
      </c>
      <c r="H7" s="3" t="n">
        <v>4</v>
      </c>
      <c r="I7" s="2" t="s">
        <v>64</v>
      </c>
      <c r="J7" s="3" t="n">
        <v>11</v>
      </c>
      <c r="K7" s="4" t="n">
        <f aca="false">IF(OR(H7="",J7=""),"",H7/J7-1)</f>
        <v>-0.636363636363636</v>
      </c>
      <c r="L7" s="2" t="s">
        <v>65</v>
      </c>
      <c r="M7" s="3" t="n">
        <v>20</v>
      </c>
      <c r="N7" s="3" t="n">
        <v>11</v>
      </c>
      <c r="O7" s="5" t="n">
        <f aca="false">IF(OR(H7="",N7=""),"",N7/H7)</f>
        <v>2.75</v>
      </c>
      <c r="P7" s="2"/>
      <c r="Q7" s="2"/>
      <c r="R7" s="6" t="n">
        <v>736</v>
      </c>
      <c r="S7" s="2" t="s">
        <v>40</v>
      </c>
      <c r="T7" s="2"/>
    </row>
    <row r="8" customFormat="false" ht="15" hidden="false" customHeight="false" outlineLevel="0" collapsed="false">
      <c r="A8" s="2" t="s">
        <v>20</v>
      </c>
      <c r="B8" s="2" t="s">
        <v>66</v>
      </c>
      <c r="C8" s="2" t="s">
        <v>22</v>
      </c>
      <c r="D8" s="2" t="s">
        <v>23</v>
      </c>
      <c r="E8" s="2" t="s">
        <v>43</v>
      </c>
      <c r="F8" s="2" t="s">
        <v>67</v>
      </c>
      <c r="G8" s="2" t="s">
        <v>68</v>
      </c>
      <c r="H8" s="3" t="n">
        <v>2</v>
      </c>
      <c r="I8" s="2" t="s">
        <v>69</v>
      </c>
      <c r="J8" s="3" t="n">
        <v>7</v>
      </c>
      <c r="K8" s="4" t="n">
        <f aca="false">IF(OR(H8="",J8=""),"",H8/J8-1)</f>
        <v>-0.714285714285714</v>
      </c>
      <c r="L8" s="2" t="s">
        <v>70</v>
      </c>
      <c r="M8" s="3" t="n">
        <v>24</v>
      </c>
      <c r="N8" s="3" t="n">
        <v>9</v>
      </c>
      <c r="O8" s="5" t="n">
        <f aca="false">IF(OR(H8="",N8=""),"",N8/H8)</f>
        <v>4.5</v>
      </c>
      <c r="P8" s="2"/>
      <c r="Q8" s="2"/>
      <c r="R8" s="6" t="n">
        <v>240</v>
      </c>
      <c r="S8" s="2" t="s">
        <v>40</v>
      </c>
      <c r="T8" s="2"/>
    </row>
    <row r="9" customFormat="false" ht="15" hidden="false" customHeight="false" outlineLevel="0" collapsed="false">
      <c r="A9" s="2" t="s">
        <v>20</v>
      </c>
      <c r="B9" s="2" t="s">
        <v>71</v>
      </c>
      <c r="C9" s="2" t="s">
        <v>22</v>
      </c>
      <c r="D9" s="2" t="s">
        <v>23</v>
      </c>
      <c r="E9" s="2" t="s">
        <v>43</v>
      </c>
      <c r="F9" s="2" t="s">
        <v>72</v>
      </c>
      <c r="G9" s="2" t="s">
        <v>73</v>
      </c>
      <c r="H9" s="3" t="n">
        <v>1</v>
      </c>
      <c r="I9" s="2" t="s">
        <v>74</v>
      </c>
      <c r="J9" s="3" t="n">
        <v>5</v>
      </c>
      <c r="K9" s="4" t="n">
        <f aca="false">IF(OR(H9="",J9=""),"",H9/J9-1)</f>
        <v>-0.8</v>
      </c>
      <c r="L9" s="2" t="s">
        <v>75</v>
      </c>
      <c r="M9" s="3" t="n">
        <v>13</v>
      </c>
      <c r="N9" s="3" t="n">
        <v>6</v>
      </c>
      <c r="O9" s="5" t="n">
        <f aca="false">IF(OR(H9="",N9=""),"",N9/H9)</f>
        <v>6</v>
      </c>
      <c r="P9" s="2"/>
      <c r="Q9" s="2"/>
      <c r="R9" s="6" t="n">
        <v>280</v>
      </c>
      <c r="S9" s="2" t="s">
        <v>40</v>
      </c>
      <c r="T9" s="2" t="s">
        <v>76</v>
      </c>
    </row>
    <row r="10" customFormat="false" ht="15" hidden="false" customHeight="false" outlineLevel="0" collapsed="false">
      <c r="A10" s="2" t="s">
        <v>20</v>
      </c>
      <c r="B10" s="2" t="s">
        <v>77</v>
      </c>
      <c r="C10" s="2" t="s">
        <v>22</v>
      </c>
      <c r="D10" s="2" t="s">
        <v>23</v>
      </c>
      <c r="E10" s="2" t="s">
        <v>24</v>
      </c>
      <c r="F10" s="2" t="s">
        <v>78</v>
      </c>
      <c r="G10" s="2" t="s">
        <v>79</v>
      </c>
      <c r="H10" s="3" t="n">
        <v>6</v>
      </c>
      <c r="I10" s="2" t="s">
        <v>80</v>
      </c>
      <c r="J10" s="3"/>
      <c r="K10" s="4" t="str">
        <f aca="false">IF(OR(H10="",J10=""),"",H10/J10-1)</f>
        <v/>
      </c>
      <c r="L10" s="2" t="s">
        <v>80</v>
      </c>
      <c r="M10" s="3"/>
      <c r="N10" s="3"/>
      <c r="O10" s="5" t="str">
        <f aca="false">IF(OR(H10="",N10=""),"",N10/H10)</f>
        <v/>
      </c>
      <c r="P10" s="2"/>
      <c r="Q10" s="2"/>
      <c r="R10" s="6"/>
      <c r="S10" s="2" t="s">
        <v>81</v>
      </c>
      <c r="T10" s="2" t="s">
        <v>82</v>
      </c>
    </row>
    <row r="11" customFormat="false" ht="15" hidden="false" customHeight="false" outlineLevel="0" collapsed="false">
      <c r="A11" s="2" t="s">
        <v>83</v>
      </c>
      <c r="B11" s="2" t="s">
        <v>84</v>
      </c>
      <c r="C11" s="2" t="s">
        <v>85</v>
      </c>
      <c r="D11" s="2" t="s">
        <v>23</v>
      </c>
      <c r="E11" s="2" t="s">
        <v>24</v>
      </c>
      <c r="F11" s="2" t="s">
        <v>86</v>
      </c>
      <c r="G11" s="2" t="s">
        <v>87</v>
      </c>
      <c r="H11" s="3" t="n">
        <v>3</v>
      </c>
      <c r="I11" s="2" t="s">
        <v>88</v>
      </c>
      <c r="J11" s="3" t="n">
        <v>5</v>
      </c>
      <c r="K11" s="4" t="n">
        <f aca="false">IF(OR(H11="",J11=""),"",H11/J11-1)</f>
        <v>-0.4</v>
      </c>
      <c r="L11" s="2" t="s">
        <v>89</v>
      </c>
      <c r="M11" s="3" t="n">
        <v>20</v>
      </c>
      <c r="N11" s="3" t="n">
        <v>4</v>
      </c>
      <c r="O11" s="5" t="n">
        <f aca="false">IF(OR(H11="",N11=""),"",N11/H11)</f>
        <v>1.33333333333333</v>
      </c>
      <c r="P11" s="2"/>
      <c r="Q11" s="2"/>
      <c r="R11" s="6"/>
      <c r="S11" s="2" t="s">
        <v>90</v>
      </c>
      <c r="T11" s="2"/>
    </row>
    <row r="12" customFormat="false" ht="15" hidden="false" customHeight="false" outlineLevel="0" collapsed="false">
      <c r="A12" s="2" t="s">
        <v>83</v>
      </c>
      <c r="B12" s="2" t="s">
        <v>91</v>
      </c>
      <c r="C12" s="2" t="s">
        <v>85</v>
      </c>
      <c r="D12" s="2" t="s">
        <v>23</v>
      </c>
      <c r="E12" s="2" t="s">
        <v>43</v>
      </c>
      <c r="F12" s="2" t="s">
        <v>92</v>
      </c>
      <c r="G12" s="2" t="s">
        <v>93</v>
      </c>
      <c r="H12" s="3" t="n">
        <v>1</v>
      </c>
      <c r="I12" s="2" t="s">
        <v>94</v>
      </c>
      <c r="J12" s="3" t="n">
        <v>8</v>
      </c>
      <c r="K12" s="4" t="n">
        <f aca="false">IF(OR(H12="",J12=""),"",H12/J12-1)</f>
        <v>-0.875</v>
      </c>
      <c r="L12" s="2" t="s">
        <v>95</v>
      </c>
      <c r="M12" s="3" t="n">
        <v>22</v>
      </c>
      <c r="N12" s="3" t="n">
        <v>8</v>
      </c>
      <c r="O12" s="5" t="n">
        <f aca="false">IF(OR(H12="",N12=""),"",N12/H12)</f>
        <v>8</v>
      </c>
      <c r="P12" s="2"/>
      <c r="Q12" s="2"/>
      <c r="R12" s="6"/>
      <c r="S12" s="2" t="s">
        <v>96</v>
      </c>
      <c r="T12" s="2"/>
    </row>
    <row r="13" customFormat="false" ht="15" hidden="false" customHeight="false" outlineLevel="0" collapsed="false">
      <c r="A13" s="2" t="s">
        <v>83</v>
      </c>
      <c r="B13" s="2" t="s">
        <v>56</v>
      </c>
      <c r="C13" s="2" t="s">
        <v>85</v>
      </c>
      <c r="D13" s="2" t="s">
        <v>23</v>
      </c>
      <c r="E13" s="2" t="s">
        <v>43</v>
      </c>
      <c r="F13" s="2" t="s">
        <v>97</v>
      </c>
      <c r="G13" s="2" t="s">
        <v>58</v>
      </c>
      <c r="H13" s="3" t="n">
        <v>1</v>
      </c>
      <c r="I13" s="2" t="s">
        <v>98</v>
      </c>
      <c r="J13" s="3" t="n">
        <v>7</v>
      </c>
      <c r="K13" s="4" t="n">
        <f aca="false">IF(OR(H13="",J13=""),"",H13/J13-1)</f>
        <v>-0.857142857142857</v>
      </c>
      <c r="L13" s="2" t="s">
        <v>99</v>
      </c>
      <c r="M13" s="3" t="n">
        <v>20</v>
      </c>
      <c r="N13" s="3" t="n">
        <v>8</v>
      </c>
      <c r="O13" s="5" t="n">
        <f aca="false">IF(OR(H13="",N13=""),"",N13/H13)</f>
        <v>8</v>
      </c>
      <c r="P13" s="2"/>
      <c r="Q13" s="2"/>
      <c r="R13" s="6"/>
      <c r="S13" s="2" t="s">
        <v>40</v>
      </c>
      <c r="T13" s="2"/>
    </row>
    <row r="14" customFormat="false" ht="15" hidden="false" customHeight="false" outlineLevel="0" collapsed="false">
      <c r="A14" s="2" t="s">
        <v>83</v>
      </c>
      <c r="B14" s="2" t="s">
        <v>33</v>
      </c>
      <c r="C14" s="2" t="s">
        <v>85</v>
      </c>
      <c r="D14" s="2" t="s">
        <v>34</v>
      </c>
      <c r="E14" s="2" t="s">
        <v>35</v>
      </c>
      <c r="F14" s="2" t="s">
        <v>100</v>
      </c>
      <c r="G14" s="2" t="s">
        <v>37</v>
      </c>
      <c r="H14" s="3" t="n">
        <v>6</v>
      </c>
      <c r="I14" s="2" t="s">
        <v>101</v>
      </c>
      <c r="J14" s="3" t="n">
        <v>5</v>
      </c>
      <c r="K14" s="4" t="n">
        <f aca="false">IF(OR(H14="",J14=""),"",H14/J14-1)</f>
        <v>0.2</v>
      </c>
      <c r="L14" s="2" t="s">
        <v>102</v>
      </c>
      <c r="M14" s="3" t="n">
        <v>16</v>
      </c>
      <c r="N14" s="3"/>
      <c r="O14" s="5" t="str">
        <f aca="false">IF(OR(H14="",N14=""),"",N14/H14)</f>
        <v/>
      </c>
      <c r="P14" s="2"/>
      <c r="Q14" s="2"/>
      <c r="R14" s="6"/>
      <c r="S14" s="2" t="s">
        <v>81</v>
      </c>
      <c r="T14" s="2"/>
    </row>
    <row r="15" customFormat="false" ht="15" hidden="false" customHeight="false" outlineLevel="0" collapsed="false">
      <c r="A15" s="2" t="s">
        <v>103</v>
      </c>
      <c r="B15" s="2" t="s">
        <v>104</v>
      </c>
      <c r="C15" s="2" t="s">
        <v>22</v>
      </c>
      <c r="D15" s="2" t="s">
        <v>23</v>
      </c>
      <c r="E15" s="2" t="s">
        <v>43</v>
      </c>
      <c r="F15" s="2" t="s">
        <v>105</v>
      </c>
      <c r="G15" s="2" t="s">
        <v>106</v>
      </c>
      <c r="H15" s="3" t="n">
        <v>2</v>
      </c>
      <c r="I15" s="2" t="s">
        <v>107</v>
      </c>
      <c r="J15" s="3" t="n">
        <v>13</v>
      </c>
      <c r="K15" s="4" t="n">
        <f aca="false">IF(OR(H15="",J15=""),"",H15/J15-1)</f>
        <v>-0.846153846153846</v>
      </c>
      <c r="L15" s="2" t="s">
        <v>108</v>
      </c>
      <c r="M15" s="3" t="n">
        <v>8</v>
      </c>
      <c r="N15" s="3" t="n">
        <v>6</v>
      </c>
      <c r="O15" s="5" t="n">
        <f aca="false">IF(OR(H15="",N15=""),"",N15/H15)</f>
        <v>3</v>
      </c>
      <c r="P15" s="2"/>
      <c r="Q15" s="2"/>
      <c r="R15" s="6" t="n">
        <v>500</v>
      </c>
      <c r="S15" s="2" t="s">
        <v>109</v>
      </c>
      <c r="T15" s="2"/>
    </row>
    <row r="16" customFormat="false" ht="15" hidden="false" customHeight="false" outlineLevel="0" collapsed="false">
      <c r="A16" s="2" t="s">
        <v>103</v>
      </c>
      <c r="B16" s="2" t="s">
        <v>110</v>
      </c>
      <c r="C16" s="2" t="s">
        <v>22</v>
      </c>
      <c r="D16" s="2" t="s">
        <v>23</v>
      </c>
      <c r="E16" s="2" t="s">
        <v>43</v>
      </c>
      <c r="F16" s="2" t="s">
        <v>44</v>
      </c>
      <c r="G16" s="2" t="s">
        <v>111</v>
      </c>
      <c r="H16" s="3" t="n">
        <v>10</v>
      </c>
      <c r="I16" s="2" t="s">
        <v>46</v>
      </c>
      <c r="J16" s="3" t="n">
        <v>12</v>
      </c>
      <c r="K16" s="4" t="n">
        <f aca="false">IF(OR(H16="",J16=""),"",H16/J16-1)</f>
        <v>-0.166666666666667</v>
      </c>
      <c r="L16" s="2" t="s">
        <v>112</v>
      </c>
      <c r="M16" s="3" t="n">
        <v>17</v>
      </c>
      <c r="N16" s="3" t="n">
        <v>12</v>
      </c>
      <c r="O16" s="5" t="n">
        <f aca="false">IF(OR(H16="",N16=""),"",N16/H16)</f>
        <v>1.2</v>
      </c>
      <c r="P16" s="2" t="s">
        <v>113</v>
      </c>
      <c r="Q16" s="2"/>
      <c r="R16" s="6" t="n">
        <v>500</v>
      </c>
      <c r="S16" s="2" t="s">
        <v>114</v>
      </c>
      <c r="T16" s="2"/>
    </row>
    <row r="17" customFormat="false" ht="15" hidden="false" customHeight="false" outlineLevel="0" collapsed="false">
      <c r="A17" s="2" t="s">
        <v>103</v>
      </c>
      <c r="B17" s="2" t="s">
        <v>115</v>
      </c>
      <c r="C17" s="2" t="s">
        <v>22</v>
      </c>
      <c r="D17" s="2" t="s">
        <v>23</v>
      </c>
      <c r="E17" s="2" t="s">
        <v>43</v>
      </c>
      <c r="F17" s="2" t="s">
        <v>116</v>
      </c>
      <c r="G17" s="2" t="s">
        <v>117</v>
      </c>
      <c r="H17" s="3" t="n">
        <v>7</v>
      </c>
      <c r="I17" s="2" t="s">
        <v>118</v>
      </c>
      <c r="J17" s="3" t="n">
        <v>10</v>
      </c>
      <c r="K17" s="4" t="n">
        <f aca="false">IF(OR(H17="",J17=""),"",H17/J17-1)</f>
        <v>-0.3</v>
      </c>
      <c r="L17" s="2" t="s">
        <v>119</v>
      </c>
      <c r="M17" s="3" t="n">
        <v>25</v>
      </c>
      <c r="N17" s="3" t="n">
        <v>13</v>
      </c>
      <c r="O17" s="5" t="n">
        <f aca="false">IF(OR(H17="",N17=""),"",N17/H17)</f>
        <v>1.85714285714286</v>
      </c>
      <c r="P17" s="2"/>
      <c r="Q17" s="2"/>
      <c r="R17" s="6" t="n">
        <v>500</v>
      </c>
      <c r="S17" s="2" t="s">
        <v>109</v>
      </c>
      <c r="T17" s="2" t="s">
        <v>120</v>
      </c>
    </row>
    <row r="18" customFormat="false" ht="15" hidden="false" customHeight="false" outlineLevel="0" collapsed="false">
      <c r="A18" s="2" t="s">
        <v>103</v>
      </c>
      <c r="B18" s="2" t="s">
        <v>121</v>
      </c>
      <c r="C18" s="2" t="s">
        <v>22</v>
      </c>
      <c r="D18" s="2" t="s">
        <v>23</v>
      </c>
      <c r="E18" s="2" t="s">
        <v>43</v>
      </c>
      <c r="F18" s="2" t="s">
        <v>122</v>
      </c>
      <c r="G18" s="2" t="s">
        <v>123</v>
      </c>
      <c r="H18" s="3" t="n">
        <v>4</v>
      </c>
      <c r="I18" s="2" t="s">
        <v>124</v>
      </c>
      <c r="J18" s="3" t="n">
        <v>13</v>
      </c>
      <c r="K18" s="4" t="n">
        <f aca="false">IF(OR(H18="",J18=""),"",H18/J18-1)</f>
        <v>-0.692307692307692</v>
      </c>
      <c r="L18" s="2" t="s">
        <v>125</v>
      </c>
      <c r="M18" s="3" t="n">
        <v>14</v>
      </c>
      <c r="N18" s="3" t="n">
        <v>13</v>
      </c>
      <c r="O18" s="5" t="n">
        <f aca="false">IF(OR(H18="",N18=""),"",N18/H18)</f>
        <v>3.25</v>
      </c>
      <c r="P18" s="2"/>
      <c r="Q18" s="2"/>
      <c r="R18" s="6" t="n">
        <v>450</v>
      </c>
      <c r="S18" s="2" t="s">
        <v>31</v>
      </c>
      <c r="T18" s="2"/>
    </row>
    <row r="19" customFormat="false" ht="15" hidden="false" customHeight="false" outlineLevel="0" collapsed="false">
      <c r="A19" s="2" t="s">
        <v>103</v>
      </c>
      <c r="B19" s="2" t="s">
        <v>126</v>
      </c>
      <c r="C19" s="2" t="s">
        <v>22</v>
      </c>
      <c r="D19" s="2" t="s">
        <v>23</v>
      </c>
      <c r="E19" s="2" t="s">
        <v>43</v>
      </c>
      <c r="F19" s="2" t="s">
        <v>127</v>
      </c>
      <c r="G19" s="2" t="s">
        <v>128</v>
      </c>
      <c r="H19" s="3" t="n">
        <v>7</v>
      </c>
      <c r="I19" s="2" t="s">
        <v>129</v>
      </c>
      <c r="J19" s="3" t="n">
        <v>11</v>
      </c>
      <c r="K19" s="4" t="n">
        <f aca="false">IF(OR(H19="",J19=""),"",H19/J19-1)</f>
        <v>-0.363636363636364</v>
      </c>
      <c r="L19" s="2" t="s">
        <v>130</v>
      </c>
      <c r="M19" s="3" t="n">
        <v>9</v>
      </c>
      <c r="N19" s="3" t="n">
        <v>8</v>
      </c>
      <c r="O19" s="5" t="n">
        <f aca="false">IF(OR(H19="",N19=""),"",N19/H19)</f>
        <v>1.14285714285714</v>
      </c>
      <c r="P19" s="2" t="s">
        <v>131</v>
      </c>
      <c r="Q19" s="2"/>
      <c r="R19" s="6" t="n">
        <v>450</v>
      </c>
      <c r="S19" s="2" t="s">
        <v>132</v>
      </c>
      <c r="T19" s="2"/>
    </row>
    <row r="20" customFormat="false" ht="15" hidden="false" customHeight="false" outlineLevel="0" collapsed="false">
      <c r="A20" s="2" t="s">
        <v>133</v>
      </c>
      <c r="B20" s="2" t="s">
        <v>134</v>
      </c>
      <c r="C20" s="2" t="s">
        <v>22</v>
      </c>
      <c r="D20" s="2" t="s">
        <v>135</v>
      </c>
      <c r="E20" s="2" t="s">
        <v>135</v>
      </c>
      <c r="F20" s="2" t="s">
        <v>136</v>
      </c>
      <c r="G20" s="2" t="s">
        <v>137</v>
      </c>
      <c r="H20" s="3" t="n">
        <v>5</v>
      </c>
      <c r="I20" s="2"/>
      <c r="J20" s="3"/>
      <c r="K20" s="4" t="str">
        <f aca="false">IF(OR(H20="",J20=""),"",H20/J20-1)</f>
        <v/>
      </c>
      <c r="L20" s="2" t="s">
        <v>138</v>
      </c>
      <c r="M20" s="3" t="n">
        <v>5</v>
      </c>
      <c r="N20" s="3" t="n">
        <v>30</v>
      </c>
      <c r="O20" s="5" t="n">
        <f aca="false">IF(OR(H20="",N20=""),"",N20/H20)</f>
        <v>6</v>
      </c>
      <c r="P20" s="2"/>
      <c r="Q20" s="2"/>
      <c r="R20" s="6"/>
      <c r="S20" s="2" t="s">
        <v>139</v>
      </c>
      <c r="T20" s="2" t="s">
        <v>140</v>
      </c>
    </row>
    <row r="21" customFormat="false" ht="15" hidden="false" customHeight="false" outlineLevel="0" collapsed="false">
      <c r="A21" s="2" t="s">
        <v>133</v>
      </c>
      <c r="B21" s="2" t="s">
        <v>141</v>
      </c>
      <c r="C21" s="2" t="s">
        <v>22</v>
      </c>
      <c r="D21" s="2" t="s">
        <v>135</v>
      </c>
      <c r="E21" s="2" t="s">
        <v>135</v>
      </c>
      <c r="F21" s="2" t="s">
        <v>142</v>
      </c>
      <c r="G21" s="2" t="s">
        <v>137</v>
      </c>
      <c r="H21" s="3" t="n">
        <v>3</v>
      </c>
      <c r="I21" s="2"/>
      <c r="J21" s="3"/>
      <c r="K21" s="4" t="str">
        <f aca="false">IF(OR(H21="",J21=""),"",H21/J21-1)</f>
        <v/>
      </c>
      <c r="L21" s="2" t="s">
        <v>143</v>
      </c>
      <c r="M21" s="3" t="n">
        <v>4</v>
      </c>
      <c r="N21" s="3" t="n">
        <v>4</v>
      </c>
      <c r="O21" s="5" t="n">
        <f aca="false">IF(OR(H21="",N21=""),"",N21/H21)</f>
        <v>1.33333333333333</v>
      </c>
      <c r="P21" s="2" t="s">
        <v>144</v>
      </c>
      <c r="Q21" s="2" t="s">
        <v>145</v>
      </c>
      <c r="R21" s="6"/>
      <c r="S21" s="2" t="s">
        <v>146</v>
      </c>
      <c r="T21" s="2" t="s">
        <v>140</v>
      </c>
    </row>
    <row r="22" customFormat="false" ht="15" hidden="false" customHeight="false" outlineLevel="0" collapsed="false">
      <c r="A22" s="2" t="s">
        <v>133</v>
      </c>
      <c r="B22" s="2" t="s">
        <v>141</v>
      </c>
      <c r="C22" s="2" t="s">
        <v>85</v>
      </c>
      <c r="D22" s="2" t="s">
        <v>135</v>
      </c>
      <c r="E22" s="2" t="s">
        <v>135</v>
      </c>
      <c r="F22" s="2" t="s">
        <v>147</v>
      </c>
      <c r="G22" s="2" t="s">
        <v>137</v>
      </c>
      <c r="H22" s="3" t="n">
        <v>4</v>
      </c>
      <c r="I22" s="2"/>
      <c r="J22" s="3"/>
      <c r="K22" s="4" t="str">
        <f aca="false">IF(OR(H22="",J22=""),"",H22/J22-1)</f>
        <v/>
      </c>
      <c r="L22" s="2" t="s">
        <v>148</v>
      </c>
      <c r="M22" s="3" t="n">
        <v>5</v>
      </c>
      <c r="N22" s="3" t="n">
        <v>4</v>
      </c>
      <c r="O22" s="5" t="n">
        <f aca="false">IF(OR(H22="",N22=""),"",N22/H22)</f>
        <v>1</v>
      </c>
      <c r="P22" s="2" t="s">
        <v>144</v>
      </c>
      <c r="Q22" s="2" t="s">
        <v>149</v>
      </c>
      <c r="R22" s="6"/>
      <c r="S22" s="2" t="s">
        <v>150</v>
      </c>
      <c r="T22" s="2" t="s">
        <v>140</v>
      </c>
    </row>
    <row r="23" customFormat="false" ht="15" hidden="false" customHeight="false" outlineLevel="0" collapsed="false">
      <c r="A23" s="2" t="s">
        <v>133</v>
      </c>
      <c r="B23" s="2" t="s">
        <v>151</v>
      </c>
      <c r="C23" s="2" t="s">
        <v>22</v>
      </c>
      <c r="D23" s="2" t="s">
        <v>135</v>
      </c>
      <c r="E23" s="2" t="s">
        <v>135</v>
      </c>
      <c r="F23" s="2" t="s">
        <v>152</v>
      </c>
      <c r="G23" s="2" t="s">
        <v>137</v>
      </c>
      <c r="H23" s="3" t="n">
        <v>3</v>
      </c>
      <c r="I23" s="2"/>
      <c r="J23" s="3"/>
      <c r="K23" s="4" t="str">
        <f aca="false">IF(OR(H23="",J23=""),"",H23/J23-1)</f>
        <v/>
      </c>
      <c r="L23" s="2" t="s">
        <v>153</v>
      </c>
      <c r="M23" s="3" t="n">
        <v>5</v>
      </c>
      <c r="N23" s="3" t="n">
        <v>3</v>
      </c>
      <c r="O23" s="5" t="n">
        <f aca="false">IF(OR(H23="",N23=""),"",N23/H23)</f>
        <v>1</v>
      </c>
      <c r="P23" s="2" t="s">
        <v>144</v>
      </c>
      <c r="Q23" s="2" t="s">
        <v>154</v>
      </c>
      <c r="R23" s="6"/>
      <c r="S23" s="2" t="s">
        <v>146</v>
      </c>
      <c r="T23" s="2" t="s">
        <v>140</v>
      </c>
    </row>
    <row r="24" customFormat="false" ht="15" hidden="false" customHeight="false" outlineLevel="0" collapsed="false">
      <c r="A24" s="2" t="s">
        <v>133</v>
      </c>
      <c r="B24" s="2" t="s">
        <v>151</v>
      </c>
      <c r="C24" s="2" t="s">
        <v>85</v>
      </c>
      <c r="D24" s="2" t="s">
        <v>135</v>
      </c>
      <c r="E24" s="2" t="s">
        <v>135</v>
      </c>
      <c r="F24" s="2" t="s">
        <v>155</v>
      </c>
      <c r="G24" s="2" t="s">
        <v>137</v>
      </c>
      <c r="H24" s="3" t="n">
        <v>3</v>
      </c>
      <c r="I24" s="2"/>
      <c r="J24" s="3"/>
      <c r="K24" s="4" t="str">
        <f aca="false">IF(OR(H24="",J24=""),"",H24/J24-1)</f>
        <v/>
      </c>
      <c r="L24" s="2" t="s">
        <v>156</v>
      </c>
      <c r="M24" s="3" t="n">
        <v>4</v>
      </c>
      <c r="N24" s="3" t="n">
        <v>3</v>
      </c>
      <c r="O24" s="5" t="n">
        <f aca="false">IF(OR(H24="",N24=""),"",N24/H24)</f>
        <v>1</v>
      </c>
      <c r="P24" s="2" t="s">
        <v>144</v>
      </c>
      <c r="Q24" s="2" t="s">
        <v>157</v>
      </c>
      <c r="R24" s="6"/>
      <c r="S24" s="2" t="s">
        <v>146</v>
      </c>
      <c r="T24" s="2" t="s">
        <v>140</v>
      </c>
    </row>
    <row r="25" customFormat="false" ht="15" hidden="false" customHeight="false" outlineLevel="0" collapsed="false">
      <c r="A25" s="2" t="s">
        <v>133</v>
      </c>
      <c r="B25" s="2" t="s">
        <v>158</v>
      </c>
      <c r="C25" s="2" t="s">
        <v>85</v>
      </c>
      <c r="D25" s="2" t="s">
        <v>135</v>
      </c>
      <c r="E25" s="2" t="s">
        <v>135</v>
      </c>
      <c r="F25" s="2" t="s">
        <v>159</v>
      </c>
      <c r="G25" s="2" t="s">
        <v>137</v>
      </c>
      <c r="H25" s="3" t="n">
        <v>3</v>
      </c>
      <c r="I25" s="2"/>
      <c r="J25" s="3"/>
      <c r="K25" s="4" t="str">
        <f aca="false">IF(OR(H25="",J25=""),"",H25/J25-1)</f>
        <v/>
      </c>
      <c r="L25" s="2" t="s">
        <v>160</v>
      </c>
      <c r="M25" s="3" t="n">
        <v>3</v>
      </c>
      <c r="N25" s="3" t="n">
        <v>3</v>
      </c>
      <c r="O25" s="5" t="n">
        <f aca="false">IF(OR(H25="",N25=""),"",N25/H25)</f>
        <v>1</v>
      </c>
      <c r="P25" s="2" t="s">
        <v>144</v>
      </c>
      <c r="Q25" s="2" t="s">
        <v>161</v>
      </c>
      <c r="R25" s="6"/>
      <c r="S25" s="2" t="s">
        <v>146</v>
      </c>
      <c r="T25" s="2" t="s">
        <v>140</v>
      </c>
    </row>
  </sheetData>
  <autoFilter ref="A1:T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7" t="s">
        <v>162</v>
      </c>
    </row>
    <row r="2" customFormat="false" ht="15" hidden="false" customHeight="false" outlineLevel="0" collapsed="false">
      <c r="A2" s="2" t="s">
        <v>163</v>
      </c>
    </row>
    <row r="3" customFormat="false" ht="15" hidden="false" customHeight="false" outlineLevel="0" collapsed="false">
      <c r="A3" s="2" t="s">
        <v>164</v>
      </c>
    </row>
    <row r="4" customFormat="false" ht="15" hidden="false" customHeight="false" outlineLevel="0" collapsed="false">
      <c r="A4" s="2" t="s">
        <v>165</v>
      </c>
    </row>
    <row r="5" customFormat="false" ht="15" hidden="false" customHeight="false" outlineLevel="0" collapsed="false">
      <c r="A5" s="2" t="s">
        <v>166</v>
      </c>
    </row>
    <row r="6" customFormat="false" ht="15" hidden="false" customHeight="false" outlineLevel="0" collapsed="false">
      <c r="A6" s="2" t="s">
        <v>167</v>
      </c>
    </row>
    <row r="7" customFormat="false" ht="15" hidden="false" customHeight="false" outlineLevel="0" collapsed="false">
      <c r="A7" s="2" t="s">
        <v>168</v>
      </c>
    </row>
    <row r="8" customFormat="false" ht="15" hidden="false" customHeight="false" outlineLevel="0" collapsed="false">
      <c r="A8" s="2" t="s">
        <v>169</v>
      </c>
    </row>
    <row r="9" customFormat="false" ht="15" hidden="false" customHeight="false" outlineLevel="0" collapsed="false">
      <c r="A9" s="2" t="s">
        <v>170</v>
      </c>
    </row>
    <row r="10" customFormat="false" ht="15" hidden="false" customHeight="false" outlineLevel="0" collapsed="false">
      <c r="A10" s="2" t="s">
        <v>171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7" t="s">
        <v>172</v>
      </c>
    </row>
    <row r="13" customFormat="false" ht="15" hidden="false" customHeight="false" outlineLevel="0" collapsed="false">
      <c r="A13" s="2" t="s">
        <v>173</v>
      </c>
    </row>
    <row r="14" customFormat="false" ht="15" hidden="false" customHeight="false" outlineLevel="0" collapsed="false">
      <c r="A14" s="2" t="s">
        <v>174</v>
      </c>
    </row>
    <row r="15" customFormat="false" ht="15" hidden="false" customHeight="false" outlineLevel="0" collapsed="false">
      <c r="A15" s="2" t="s">
        <v>175</v>
      </c>
    </row>
    <row r="16" customFormat="false" ht="15" hidden="false" customHeight="false" outlineLevel="0" collapsed="false">
      <c r="A16" s="2" t="s">
        <v>176</v>
      </c>
    </row>
    <row r="17" customFormat="false" ht="15" hidden="false" customHeight="false" outlineLevel="0" collapsed="false">
      <c r="A17" s="2" t="s">
        <v>177</v>
      </c>
    </row>
    <row r="18" customFormat="false" ht="15" hidden="false" customHeight="false" outlineLevel="0" collapsed="false">
      <c r="A18" s="2" t="s">
        <v>178</v>
      </c>
    </row>
    <row r="19" customFormat="false" ht="15" hidden="false" customHeight="false" outlineLevel="0" collapsed="false">
      <c r="A19" s="2" t="s">
        <v>179</v>
      </c>
    </row>
    <row r="20" customFormat="false" ht="15" hidden="false" customHeight="false" outlineLevel="0" collapsed="false">
      <c r="A20" s="2" t="s">
        <v>180</v>
      </c>
    </row>
    <row r="21" customFormat="false" ht="15" hidden="false" customHeight="false" outlineLevel="0" collapsed="false">
      <c r="A21" s="2" t="s">
        <v>181</v>
      </c>
    </row>
    <row r="22" customFormat="false" ht="15" hidden="false" customHeight="false" outlineLevel="0" collapsed="false">
      <c r="A22" s="2" t="s">
        <v>182</v>
      </c>
    </row>
    <row r="23" customFormat="false" ht="15" hidden="false" customHeight="false" outlineLevel="0" collapsed="false">
      <c r="A23" s="2" t="s">
        <v>183</v>
      </c>
    </row>
    <row r="24" customFormat="false" ht="15" hidden="false" customHeight="false" outlineLevel="0" collapsed="false">
      <c r="A24" s="2" t="s">
        <v>184</v>
      </c>
    </row>
    <row r="25" customFormat="false" ht="15" hidden="false" customHeight="false" outlineLevel="0" collapsed="false">
      <c r="A25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2026-10-04T00:16:25Z</dcterms:created>
  <dc:creator>openpyxl</dc:creator>
  <dc:description/>
  <dc:language>en-US</dc:language>
  <cp:lastModifiedBy/>
  <dcterms:modified xsi:type="dcterms:W3CDTF">2026-10-04T00:16:25Z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